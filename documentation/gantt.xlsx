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win/wenvision/documentation/"/>
    </mc:Choice>
  </mc:AlternateContent>
  <xr:revisionPtr revIDLastSave="0" documentId="13_ncr:1_{CD32F5E1-672C-954A-9E08-58CB038C60B4}" xr6:coauthVersionLast="47" xr6:coauthVersionMax="47" xr10:uidLastSave="{00000000-0000-0000-0000-000000000000}"/>
  <bookViews>
    <workbookView xWindow="-3480" yWindow="-18280" windowWidth="28800" windowHeight="17520" activeTab="1" xr2:uid="{0EBAA4D1-DB95-A648-9383-22BBB317B106}"/>
  </bookViews>
  <sheets>
    <sheet name="Sheet1" sheetId="1" r:id="rId1"/>
    <sheet name="Sheet2" sheetId="2" r:id="rId2"/>
  </sheets>
  <definedNames>
    <definedName name="_xlchart.v1.11" hidden="1">Sheet2!$A$2:$B$9</definedName>
    <definedName name="_xlchart.v1.12" hidden="1">Sheet2!$C$1</definedName>
    <definedName name="_xlchart.v1.13" hidden="1">Sheet2!$C$2:$C$9</definedName>
    <definedName name="_xlchart.v1.14" hidden="1">Sheet2!$D$1</definedName>
    <definedName name="_xlchart.v1.15" hidden="1">Sheet2!$D$2:$D$9</definedName>
    <definedName name="_xlchart.v1.16" hidden="1">Sheet2!$E$1</definedName>
    <definedName name="_xlchart.v1.17" hidden="1">Sheet2!$E$2:$E$9</definedName>
    <definedName name="_xlchart.v1.18" hidden="1">Sheet2!$F$1</definedName>
    <definedName name="_xlchart.v1.19" hidden="1">Sheet2!$F$2:$F$9</definedName>
    <definedName name="_xlchart.v1.20" hidden="1">Sheet2!$G$1</definedName>
    <definedName name="_xlchart.v1.21" hidden="1">Sheet2!$G$2:$G$9</definedName>
    <definedName name="_xlchart.v2.0" hidden="1">Sheet2!$A$2:$B$9</definedName>
    <definedName name="_xlchart.v2.1" hidden="1">Sheet2!$C$1</definedName>
    <definedName name="_xlchart.v2.10" hidden="1">Sheet2!$G$2:$G$9</definedName>
    <definedName name="_xlchart.v2.2" hidden="1">Sheet2!$C$2:$C$9</definedName>
    <definedName name="_xlchart.v2.3" hidden="1">Sheet2!$D$1</definedName>
    <definedName name="_xlchart.v2.4" hidden="1">Sheet2!$D$2:$D$9</definedName>
    <definedName name="_xlchart.v2.5" hidden="1">Sheet2!$E$1</definedName>
    <definedName name="_xlchart.v2.6" hidden="1">Sheet2!$E$2:$E$9</definedName>
    <definedName name="_xlchart.v2.7" hidden="1">Sheet2!$F$1</definedName>
    <definedName name="_xlchart.v2.8" hidden="1">Sheet2!$F$2:$F$9</definedName>
    <definedName name="_xlchart.v2.9" hidden="1">Sheet2!$G$1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2" i="2"/>
  <c r="D3" i="2"/>
  <c r="D4" i="2"/>
  <c r="D5" i="2"/>
  <c r="G7" i="2"/>
  <c r="G8" i="2"/>
  <c r="G9" i="2"/>
  <c r="G5" i="2"/>
  <c r="G4" i="2"/>
  <c r="G2" i="2"/>
  <c r="I24" i="2"/>
  <c r="G3" i="2"/>
  <c r="G6" i="2"/>
  <c r="C2" i="1"/>
  <c r="B10" i="1"/>
</calcChain>
</file>

<file path=xl/sharedStrings.xml><?xml version="1.0" encoding="utf-8"?>
<sst xmlns="http://schemas.openxmlformats.org/spreadsheetml/2006/main" count="59" uniqueCount="58">
  <si>
    <t>Owner (Squad Role) </t>
  </si>
  <si>
    <t>Start Date</t>
  </si>
  <si>
    <t>Duration (Days)</t>
  </si>
  <si>
    <t>Phase </t>
  </si>
  <si>
    <t>Phase 1: Foundation</t>
  </si>
  <si>
    <t>Cloud Architect</t>
  </si>
  <si>
    <t>Foundation</t>
  </si>
  <si>
    <t>Phase 2: Logic &amp; Agents</t>
  </si>
  <si>
    <t>AI Engineer</t>
  </si>
  <si>
    <t>Logic &amp; Agents</t>
  </si>
  <si>
    <t>Phase 3: Resilience</t>
  </si>
  <si>
    <t>DevOps / SRE</t>
  </si>
  <si>
    <t>Resilience</t>
  </si>
  <si>
    <t>Phase 4: End-User HITL</t>
  </si>
  <si>
    <t>Frontend Dev</t>
  </si>
  <si>
    <t>HITL</t>
  </si>
  <si>
    <t>Phase 5: Production Rollout</t>
  </si>
  <si>
    <t>Whole Squad</t>
  </si>
  <si>
    <t>Run Phase</t>
  </si>
  <si>
    <t>Task</t>
  </si>
  <si>
    <t>Month</t>
  </si>
  <si>
    <t>Phase</t>
  </si>
  <si>
    <t>Active Users (MAU)</t>
  </si>
  <si>
    <t>Fixed Infra Baseline</t>
  </si>
  <si>
    <t>Scaling Infra Cost</t>
  </si>
  <si>
    <t>LLM Token Cost</t>
  </si>
  <si>
    <t>Total Monthly OpEx</t>
  </si>
  <si>
    <t>M1</t>
  </si>
  <si>
    <t>Foundation/Pilot</t>
  </si>
  <si>
    <t>M2</t>
  </si>
  <si>
    <t>Early Adopters</t>
  </si>
  <si>
    <t>M3</t>
  </si>
  <si>
    <t>Scaling (L3/Ops)</t>
  </si>
  <si>
    <t>M4</t>
  </si>
  <si>
    <t>Expansion</t>
  </si>
  <si>
    <t>M5</t>
  </si>
  <si>
    <t>Majority Rollout</t>
  </si>
  <si>
    <t>M6</t>
  </si>
  <si>
    <t>Full Adoption</t>
  </si>
  <si>
    <t>M7</t>
  </si>
  <si>
    <t>Retention/Opt.</t>
  </si>
  <si>
    <t>M8</t>
  </si>
  <si>
    <t>Steady State</t>
  </si>
  <si>
    <t>Service Category</t>
  </si>
  <si>
    <t>Estimated Cost</t>
  </si>
  <si>
    <t>Core Purpose &amp; Governance</t>
  </si>
  <si>
    <t>Confidential Compute</t>
  </si>
  <si>
    <t>Knowledge Search Index</t>
  </si>
  <si>
    <t>Stateful Data Tier</t>
  </si>
  <si>
    <t>Security &amp; Perimeter</t>
  </si>
  <si>
    <t>TOTAL BASELINE</t>
  </si>
  <si>
    <t>Minimum "Sovereign Tax" for a Zero-Trust Enclave.</t>
  </si>
  <si>
    <r>
      <t>Management fee for </t>
    </r>
    <r>
      <rPr>
        <b/>
        <sz val="12"/>
        <color rgb="FF000000"/>
        <rFont val="Instrument Sans"/>
      </rPr>
      <t>GKE Autopilot</t>
    </r>
    <r>
      <rPr>
        <sz val="12"/>
        <color rgb="FF000000"/>
        <rFont val="Instrument Sans"/>
      </rPr>
      <t> and the minimum "warm" pods for the </t>
    </r>
    <r>
      <rPr>
        <b/>
        <sz val="12"/>
        <color rgb="FF000000"/>
        <rFont val="Instrument Sans"/>
      </rPr>
      <t>LangGraph Supervisor</t>
    </r>
    <r>
      <rPr>
        <sz val="12"/>
        <color rgb="FF000000"/>
        <rFont val="Instrument Sans"/>
      </rPr>
      <t>. Includes the premium for </t>
    </r>
    <r>
      <rPr>
        <b/>
        <sz val="12"/>
        <color rgb="FF000000"/>
        <rFont val="Instrument Sans"/>
      </rPr>
      <t>RAM Encryption</t>
    </r>
    <r>
      <rPr>
        <sz val="12"/>
        <color rgb="FF000000"/>
        <rFont val="Instrument Sans"/>
      </rPr>
      <t>.</t>
    </r>
  </si>
  <si>
    <r>
      <t>Continuous hosting of the </t>
    </r>
    <r>
      <rPr>
        <b/>
        <sz val="12"/>
        <color rgb="FF000000"/>
        <rFont val="Instrument Sans"/>
      </rPr>
      <t>Vertex AI Search</t>
    </r>
    <r>
      <rPr>
        <sz val="12"/>
        <color rgb="FF000000"/>
        <rFont val="Instrument Sans"/>
      </rPr>
      <t> vector store to ensure RAG data (Confluence/Drive) is instantly available.</t>
    </r>
  </si>
  <si>
    <r>
      <t>Cloud SQL (HA)</t>
    </r>
    <r>
      <rPr>
        <sz val="12"/>
        <color rgb="FF000000"/>
        <rFont val="Instrument Sans"/>
      </rPr>
      <t> instance for stateful multi-agent checkpointing, ensuring conversation continuity.</t>
    </r>
  </si>
  <si>
    <r>
      <t>Fixed costs for </t>
    </r>
    <r>
      <rPr>
        <b/>
        <sz val="12"/>
        <color rgb="FF000000"/>
        <rFont val="Instrument Sans"/>
      </rPr>
      <t>VPC Service Controls</t>
    </r>
    <r>
      <rPr>
        <sz val="12"/>
        <color rgb="FF000000"/>
        <rFont val="Instrument Sans"/>
      </rPr>
      <t>, </t>
    </r>
    <r>
      <rPr>
        <b/>
        <sz val="12"/>
        <color rgb="FF000000"/>
        <rFont val="Instrument Sans"/>
      </rPr>
      <t>IAP Authentication</t>
    </r>
    <r>
      <rPr>
        <sz val="12"/>
        <color rgb="FF000000"/>
        <rFont val="Instrument Sans"/>
      </rPr>
      <t>, </t>
    </r>
    <r>
      <rPr>
        <b/>
        <sz val="12"/>
        <color rgb="FF000000"/>
        <rFont val="Instrument Sans"/>
      </rPr>
      <t>Cloud NAT</t>
    </r>
    <r>
      <rPr>
        <sz val="12"/>
        <color rgb="FF000000"/>
        <rFont val="Instrument Sans"/>
      </rPr>
      <t>, and </t>
    </r>
    <r>
      <rPr>
        <b/>
        <sz val="12"/>
        <color rgb="FF000000"/>
        <rFont val="Instrument Sans"/>
      </rPr>
      <t>Secret Manager</t>
    </r>
    <r>
      <rPr>
        <sz val="12"/>
        <color rgb="FF000000"/>
        <rFont val="Instrument Sans"/>
      </rPr>
      <t>.</t>
    </r>
  </si>
  <si>
    <t>Networking &amp; LB</t>
  </si>
  <si>
    <t>Global External HTTP(S) LB with US-based Anycast IP and cross-region data transfer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</si>
</sst>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€&quot;#,##0;[Red]\-&quot;€&quot;#,##0"/>
    <numFmt numFmtId="8" formatCode="&quot;€&quot;#,##0.00;[Red]\-&quot;€&quot;#,##0.00"/>
    <numFmt numFmtId="169" formatCode="&quot;€&quot;#,##0.00"/>
  </numFmts>
  <fonts count="9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 Unicode MS"/>
      <family val="2"/>
    </font>
    <font>
      <sz val="12"/>
      <color rgb="FF000000"/>
      <name val="Instrument Sans"/>
    </font>
    <font>
      <b/>
      <sz val="12"/>
      <color rgb="FF000000"/>
      <name val="Instrument Sans"/>
    </font>
    <font>
      <sz val="12"/>
      <color theme="1"/>
      <name val="Instrument Sans"/>
    </font>
    <font>
      <i/>
      <sz val="12"/>
      <color rgb="FF000000"/>
      <name val="Instrument Sans"/>
    </font>
    <font>
      <u/>
      <sz val="12"/>
      <color theme="1"/>
      <name val="Instrument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14" fontId="3" fillId="0" borderId="0" xfId="0" applyNumberFormat="1" applyFont="1"/>
    <xf numFmtId="0" fontId="3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8" fontId="4" fillId="0" borderId="0" xfId="0" applyNumberFormat="1" applyFont="1" applyAlignment="1">
      <alignment wrapText="1"/>
    </xf>
    <xf numFmtId="6" fontId="4" fillId="0" borderId="0" xfId="0" applyNumberFormat="1" applyFont="1" applyAlignment="1">
      <alignment wrapText="1"/>
    </xf>
    <xf numFmtId="8" fontId="5" fillId="0" borderId="0" xfId="0" applyNumberFormat="1" applyFont="1" applyAlignment="1">
      <alignment wrapText="1"/>
    </xf>
    <xf numFmtId="8" fontId="7" fillId="0" borderId="0" xfId="0" applyNumberFormat="1" applyFont="1" applyAlignment="1">
      <alignment wrapText="1"/>
    </xf>
    <xf numFmtId="169" fontId="4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6" fontId="5" fillId="0" borderId="0" xfId="0" applyNumberFormat="1" applyFont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1">
    <dxf>
      <font>
        <strike val="0"/>
        <outline val="0"/>
        <shadow val="0"/>
        <u val="none"/>
        <color rgb="FF000000"/>
        <name val="Instrument Sans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numFmt numFmtId="10" formatCode="&quot;€&quot;#,##0;[Red]\-&quot;€&quot;#,##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numFmt numFmtId="12" formatCode="&quot;€&quot;#,##0.00;[Red]\-&quot;€&quot;#,##0.00"/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numFmt numFmtId="12" formatCode="&quot;€&quot;#,##0.00;[Red]\-&quot;€&quot;#,##0.00"/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numFmt numFmtId="12" formatCode="&quot;€&quot;#,##0.00;[Red]\-&quot;€&quot;#,##0.00"/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numFmt numFmtId="12" formatCode="&quot;€&quot;#,##0.00;[Red]\-&quot;€&quot;#,##0.00"/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strument Sans"/>
        <scheme val="none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nstrument Sans" pitchFamily="2" charset="0"/>
                <a:ea typeface="+mn-ea"/>
                <a:cs typeface="Arial" panose="020B0604020202020204" pitchFamily="34" charset="0"/>
              </a:defRPr>
            </a:pPr>
            <a:r>
              <a:rPr lang="en-GB" sz="3200" b="0">
                <a:latin typeface="Instrument Sans" pitchFamily="2" charset="0"/>
                <a:cs typeface="Arial" panose="020B0604020202020204" pitchFamily="34" charset="0"/>
              </a:rPr>
              <a:t>Build Phase</a:t>
            </a:r>
          </a:p>
        </c:rich>
      </c:tx>
      <c:layout>
        <c:manualLayout>
          <c:xMode val="edge"/>
          <c:yMode val="edge"/>
          <c:x val="2.910891089108911E-2"/>
          <c:y val="1.2853470437017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nstrument Sans" pitchFamily="2" charset="0"/>
              <a:ea typeface="+mn-ea"/>
              <a:cs typeface="Arial" panose="020B0604020202020204" pitchFamily="34" charset="0"/>
            </a:defRPr>
          </a:pPr>
          <a:endParaRPr lang="en-FR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Sheet1!$C$1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Phase 1: Foundation</c:v>
                </c:pt>
                <c:pt idx="1">
                  <c:v>Phase 2: Logic &amp; Agents</c:v>
                </c:pt>
                <c:pt idx="2">
                  <c:v>Phase 3: Resilience</c:v>
                </c:pt>
                <c:pt idx="3">
                  <c:v>Phase 4: End-User HITL</c:v>
                </c:pt>
                <c:pt idx="4">
                  <c:v>Phase 5: Production Rollout</c:v>
                </c:pt>
              </c:strCache>
            </c:strRef>
          </c:cat>
          <c:val>
            <c:numRef>
              <c:f>Sheet1!$C$2:$C$6</c:f>
              <c:numCache>
                <c:formatCode>m/d/yy</c:formatCode>
                <c:ptCount val="5"/>
                <c:pt idx="0">
                  <c:v>46042</c:v>
                </c:pt>
                <c:pt idx="1">
                  <c:v>46073</c:v>
                </c:pt>
                <c:pt idx="2">
                  <c:v>46101</c:v>
                </c:pt>
                <c:pt idx="3">
                  <c:v>46132</c:v>
                </c:pt>
                <c:pt idx="4">
                  <c:v>46162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7-C645-8171-3E1545CD9108}"/>
            </c:ext>
          </c:extLst>
        </c:ser>
        <c:ser>
          <c:idx val="0"/>
          <c:order val="1"/>
          <c:tx>
            <c:strRef>
              <c:f>Sheet1!$D$1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 cap="rnd">
              <a:solidFill>
                <a:schemeClr val="accent1"/>
              </a:solidFill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Phase 1: Foundation</c:v>
                </c:pt>
                <c:pt idx="1">
                  <c:v>Phase 2: Logic &amp; Agents</c:v>
                </c:pt>
                <c:pt idx="2">
                  <c:v>Phase 3: Resilience</c:v>
                </c:pt>
                <c:pt idx="3">
                  <c:v>Phase 4: End-User HITL</c:v>
                </c:pt>
                <c:pt idx="4">
                  <c:v>Phase 5: Production Rollout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7-C645-8171-3E1545CD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100"/>
        <c:axId val="1263719168"/>
        <c:axId val="1263720880"/>
      </c:barChart>
      <c:catAx>
        <c:axId val="1263719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strument Sans" pitchFamily="2" charset="0"/>
                <a:ea typeface="+mn-ea"/>
                <a:cs typeface="+mn-cs"/>
              </a:defRPr>
            </a:pPr>
            <a:endParaRPr lang="en-FR"/>
          </a:p>
        </c:txPr>
        <c:crossAx val="1263720880"/>
        <c:crosses val="autoZero"/>
        <c:auto val="1"/>
        <c:lblAlgn val="ctr"/>
        <c:lblOffset val="100"/>
        <c:noMultiLvlLbl val="0"/>
      </c:catAx>
      <c:valAx>
        <c:axId val="1263720880"/>
        <c:scaling>
          <c:orientation val="minMax"/>
          <c:min val="4604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strument Sans" pitchFamily="2" charset="0"/>
                <a:ea typeface="+mn-ea"/>
                <a:cs typeface="+mn-cs"/>
              </a:defRPr>
            </a:pPr>
            <a:endParaRPr lang="en-FR"/>
          </a:p>
        </c:txPr>
        <c:crossAx val="1263719168"/>
        <c:crosses val="max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nstrument Sans" pitchFamily="2" charset="0"/>
        </a:defRPr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Development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Active Users (MAU)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Sheet2!$A$2:$B$9</c:f>
              <c:multiLvlStrCache>
                <c:ptCount val="8"/>
                <c:lvl>
                  <c:pt idx="0">
                    <c:v>Foundation/Pilot</c:v>
                  </c:pt>
                  <c:pt idx="1">
                    <c:v>Early Adopters</c:v>
                  </c:pt>
                  <c:pt idx="2">
                    <c:v>Scaling (L3/Ops)</c:v>
                  </c:pt>
                  <c:pt idx="3">
                    <c:v>Expansion</c:v>
                  </c:pt>
                  <c:pt idx="4">
                    <c:v>Majority Rollout</c:v>
                  </c:pt>
                  <c:pt idx="5">
                    <c:v>Full Adoption</c:v>
                  </c:pt>
                  <c:pt idx="6">
                    <c:v>Retention/Opt.</c:v>
                  </c:pt>
                  <c:pt idx="7">
                    <c:v>Steady State</c:v>
                  </c:pt>
                </c:lvl>
                <c:lvl>
                  <c:pt idx="0">
                    <c:v>M1</c:v>
                  </c:pt>
                  <c:pt idx="1">
                    <c:v>M2</c:v>
                  </c:pt>
                  <c:pt idx="2">
                    <c:v>M3</c:v>
                  </c:pt>
                  <c:pt idx="3">
                    <c:v>M4</c:v>
                  </c:pt>
                  <c:pt idx="4">
                    <c:v>M5</c:v>
                  </c:pt>
                  <c:pt idx="5">
                    <c:v>M6</c:v>
                  </c:pt>
                  <c:pt idx="6">
                    <c:v>M7</c:v>
                  </c:pt>
                  <c:pt idx="7">
                    <c:v>M8</c:v>
                  </c:pt>
                </c:lvl>
              </c:multiLvlStrCache>
            </c:multiLvlStrRef>
          </c:cat>
          <c:val>
            <c:numRef>
              <c:f>Sheet2!$C$2:$C$9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18000</c:v>
                </c:pt>
                <c:pt idx="6">
                  <c:v>22000</c:v>
                </c:pt>
                <c:pt idx="7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1-1849-A426-33A453A633DC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Fixed Infra Baseline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Sheet2!$A$2:$B$9</c:f>
              <c:multiLvlStrCache>
                <c:ptCount val="8"/>
                <c:lvl>
                  <c:pt idx="0">
                    <c:v>Foundation/Pilot</c:v>
                  </c:pt>
                  <c:pt idx="1">
                    <c:v>Early Adopters</c:v>
                  </c:pt>
                  <c:pt idx="2">
                    <c:v>Scaling (L3/Ops)</c:v>
                  </c:pt>
                  <c:pt idx="3">
                    <c:v>Expansion</c:v>
                  </c:pt>
                  <c:pt idx="4">
                    <c:v>Majority Rollout</c:v>
                  </c:pt>
                  <c:pt idx="5">
                    <c:v>Full Adoption</c:v>
                  </c:pt>
                  <c:pt idx="6">
                    <c:v>Retention/Opt.</c:v>
                  </c:pt>
                  <c:pt idx="7">
                    <c:v>Steady State</c:v>
                  </c:pt>
                </c:lvl>
                <c:lvl>
                  <c:pt idx="0">
                    <c:v>M1</c:v>
                  </c:pt>
                  <c:pt idx="1">
                    <c:v>M2</c:v>
                  </c:pt>
                  <c:pt idx="2">
                    <c:v>M3</c:v>
                  </c:pt>
                  <c:pt idx="3">
                    <c:v>M4</c:v>
                  </c:pt>
                  <c:pt idx="4">
                    <c:v>M5</c:v>
                  </c:pt>
                  <c:pt idx="5">
                    <c:v>M6</c:v>
                  </c:pt>
                  <c:pt idx="6">
                    <c:v>M7</c:v>
                  </c:pt>
                  <c:pt idx="7">
                    <c:v>M8</c:v>
                  </c:pt>
                </c:lvl>
              </c:multiLvlStrCache>
            </c:multiLvlStrRef>
          </c:cat>
          <c:val>
            <c:numRef>
              <c:f>Sheet2!$D$2:$D$9</c:f>
              <c:numCache>
                <c:formatCode>"€"#,##0.00_);[Red]\("€"#,##0.00\)</c:formatCode>
                <c:ptCount val="8"/>
                <c:pt idx="0">
                  <c:v>2370</c:v>
                </c:pt>
                <c:pt idx="1">
                  <c:v>2370</c:v>
                </c:pt>
                <c:pt idx="2">
                  <c:v>2370</c:v>
                </c:pt>
                <c:pt idx="3">
                  <c:v>2370</c:v>
                </c:pt>
                <c:pt idx="4">
                  <c:v>2370</c:v>
                </c:pt>
                <c:pt idx="5">
                  <c:v>2370</c:v>
                </c:pt>
                <c:pt idx="6">
                  <c:v>2370</c:v>
                </c:pt>
                <c:pt idx="7">
                  <c:v>2370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1-1849-A426-33A453A633DC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Scaling Infra Cost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Sheet2!$A$2:$B$9</c:f>
              <c:multiLvlStrCache>
                <c:ptCount val="8"/>
                <c:lvl>
                  <c:pt idx="0">
                    <c:v>Foundation/Pilot</c:v>
                  </c:pt>
                  <c:pt idx="1">
                    <c:v>Early Adopters</c:v>
                  </c:pt>
                  <c:pt idx="2">
                    <c:v>Scaling (L3/Ops)</c:v>
                  </c:pt>
                  <c:pt idx="3">
                    <c:v>Expansion</c:v>
                  </c:pt>
                  <c:pt idx="4">
                    <c:v>Majority Rollout</c:v>
                  </c:pt>
                  <c:pt idx="5">
                    <c:v>Full Adoption</c:v>
                  </c:pt>
                  <c:pt idx="6">
                    <c:v>Retention/Opt.</c:v>
                  </c:pt>
                  <c:pt idx="7">
                    <c:v>Steady State</c:v>
                  </c:pt>
                </c:lvl>
                <c:lvl>
                  <c:pt idx="0">
                    <c:v>M1</c:v>
                  </c:pt>
                  <c:pt idx="1">
                    <c:v>M2</c:v>
                  </c:pt>
                  <c:pt idx="2">
                    <c:v>M3</c:v>
                  </c:pt>
                  <c:pt idx="3">
                    <c:v>M4</c:v>
                  </c:pt>
                  <c:pt idx="4">
                    <c:v>M5</c:v>
                  </c:pt>
                  <c:pt idx="5">
                    <c:v>M6</c:v>
                  </c:pt>
                  <c:pt idx="6">
                    <c:v>M7</c:v>
                  </c:pt>
                  <c:pt idx="7">
                    <c:v>M8</c:v>
                  </c:pt>
                </c:lvl>
              </c:multiLvlStrCache>
            </c:multiLvlStrRef>
          </c:cat>
          <c:val>
            <c:numRef>
              <c:f>Sheet2!$E$2:$E$9</c:f>
              <c:numCache>
                <c:formatCode>"€"#,##0_);[Red]\("€"#,##0\)</c:formatCode>
                <c:ptCount val="8"/>
                <c:pt idx="0">
                  <c:v>200</c:v>
                </c:pt>
                <c:pt idx="1">
                  <c:v>400</c:v>
                </c:pt>
                <c:pt idx="2" formatCode="&quot;€&quot;#,##0.00_);[Red]\(&quot;€&quot;#,##0.00\)">
                  <c:v>1000</c:v>
                </c:pt>
                <c:pt idx="3" formatCode="&quot;€&quot;#,##0.00_);[Red]\(&quot;€&quot;#,##0.00\)">
                  <c:v>20000</c:v>
                </c:pt>
                <c:pt idx="4" formatCode="&quot;€&quot;#,##0.00_);[Red]\(&quot;€&quot;#,##0.00\)">
                  <c:v>4050</c:v>
                </c:pt>
                <c:pt idx="5" formatCode="&quot;€&quot;#,##0.00_);[Red]\(&quot;€&quot;#,##0.00\)">
                  <c:v>7250</c:v>
                </c:pt>
                <c:pt idx="6" formatCode="&quot;€&quot;#,##0.00_);[Red]\(&quot;€&quot;#,##0.00\)">
                  <c:v>8900</c:v>
                </c:pt>
                <c:pt idx="7" formatCode="&quot;€&quot;#,##0.00_);[Red]\(&quot;€&quot;#,##0.00\)">
                  <c:v>10100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1-1849-A426-33A453A633DC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LLM Token Cost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Sheet2!$A$2:$B$9</c:f>
              <c:multiLvlStrCache>
                <c:ptCount val="8"/>
                <c:lvl>
                  <c:pt idx="0">
                    <c:v>Foundation/Pilot</c:v>
                  </c:pt>
                  <c:pt idx="1">
                    <c:v>Early Adopters</c:v>
                  </c:pt>
                  <c:pt idx="2">
                    <c:v>Scaling (L3/Ops)</c:v>
                  </c:pt>
                  <c:pt idx="3">
                    <c:v>Expansion</c:v>
                  </c:pt>
                  <c:pt idx="4">
                    <c:v>Majority Rollout</c:v>
                  </c:pt>
                  <c:pt idx="5">
                    <c:v>Full Adoption</c:v>
                  </c:pt>
                  <c:pt idx="6">
                    <c:v>Retention/Opt.</c:v>
                  </c:pt>
                  <c:pt idx="7">
                    <c:v>Steady State</c:v>
                  </c:pt>
                </c:lvl>
                <c:lvl>
                  <c:pt idx="0">
                    <c:v>M1</c:v>
                  </c:pt>
                  <c:pt idx="1">
                    <c:v>M2</c:v>
                  </c:pt>
                  <c:pt idx="2">
                    <c:v>M3</c:v>
                  </c:pt>
                  <c:pt idx="3">
                    <c:v>M4</c:v>
                  </c:pt>
                  <c:pt idx="4">
                    <c:v>M5</c:v>
                  </c:pt>
                  <c:pt idx="5">
                    <c:v>M6</c:v>
                  </c:pt>
                  <c:pt idx="6">
                    <c:v>M7</c:v>
                  </c:pt>
                  <c:pt idx="7">
                    <c:v>M8</c:v>
                  </c:pt>
                </c:lvl>
              </c:multiLvlStrCache>
            </c:multiLvlStrRef>
          </c:cat>
          <c:val>
            <c:numRef>
              <c:f>Sheet2!$F$2:$F$9</c:f>
              <c:numCache>
                <c:formatCode>"€"#,##0.00_);[Red]\("€"#,##0.00\)</c:formatCode>
                <c:ptCount val="8"/>
                <c:pt idx="0">
                  <c:v>3850</c:v>
                </c:pt>
                <c:pt idx="1">
                  <c:v>7700</c:v>
                </c:pt>
                <c:pt idx="2">
                  <c:v>19250</c:v>
                </c:pt>
                <c:pt idx="3">
                  <c:v>38500</c:v>
                </c:pt>
                <c:pt idx="4" formatCode="&quot;€&quot;#\ ##0.00">
                  <c:v>51000</c:v>
                </c:pt>
                <c:pt idx="5">
                  <c:v>73500</c:v>
                </c:pt>
                <c:pt idx="6">
                  <c:v>89800</c:v>
                </c:pt>
                <c:pt idx="7">
                  <c:v>102000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E1-1849-A426-33A453A633DC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Total Monthly OpEx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Sheet2!$A$2:$B$9</c:f>
              <c:multiLvlStrCache>
                <c:ptCount val="8"/>
                <c:lvl>
                  <c:pt idx="0">
                    <c:v>Foundation/Pilot</c:v>
                  </c:pt>
                  <c:pt idx="1">
                    <c:v>Early Adopters</c:v>
                  </c:pt>
                  <c:pt idx="2">
                    <c:v>Scaling (L3/Ops)</c:v>
                  </c:pt>
                  <c:pt idx="3">
                    <c:v>Expansion</c:v>
                  </c:pt>
                  <c:pt idx="4">
                    <c:v>Majority Rollout</c:v>
                  </c:pt>
                  <c:pt idx="5">
                    <c:v>Full Adoption</c:v>
                  </c:pt>
                  <c:pt idx="6">
                    <c:v>Retention/Opt.</c:v>
                  </c:pt>
                  <c:pt idx="7">
                    <c:v>Steady State</c:v>
                  </c:pt>
                </c:lvl>
                <c:lvl>
                  <c:pt idx="0">
                    <c:v>M1</c:v>
                  </c:pt>
                  <c:pt idx="1">
                    <c:v>M2</c:v>
                  </c:pt>
                  <c:pt idx="2">
                    <c:v>M3</c:v>
                  </c:pt>
                  <c:pt idx="3">
                    <c:v>M4</c:v>
                  </c:pt>
                  <c:pt idx="4">
                    <c:v>M5</c:v>
                  </c:pt>
                  <c:pt idx="5">
                    <c:v>M6</c:v>
                  </c:pt>
                  <c:pt idx="6">
                    <c:v>M7</c:v>
                  </c:pt>
                  <c:pt idx="7">
                    <c:v>M8</c:v>
                  </c:pt>
                </c:lvl>
              </c:multiLvlStrCache>
            </c:multiLvlStrRef>
          </c:cat>
          <c:val>
            <c:numRef>
              <c:f>Sheet2!$G$2:$G$9</c:f>
              <c:numCache>
                <c:formatCode>"€"#,##0.00_);[Red]\("€"#,##0.00\)</c:formatCode>
                <c:ptCount val="8"/>
                <c:pt idx="0">
                  <c:v>6420</c:v>
                </c:pt>
                <c:pt idx="1">
                  <c:v>10470</c:v>
                </c:pt>
                <c:pt idx="2">
                  <c:v>22620</c:v>
                </c:pt>
                <c:pt idx="3">
                  <c:v>60870</c:v>
                </c:pt>
                <c:pt idx="4">
                  <c:v>57420</c:v>
                </c:pt>
                <c:pt idx="5">
                  <c:v>83120</c:v>
                </c:pt>
                <c:pt idx="6">
                  <c:v>101070</c:v>
                </c:pt>
                <c:pt idx="7">
                  <c:v>114470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E1-1849-A426-33A453A63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10057504"/>
        <c:axId val="909140032"/>
      </c:lineChart>
      <c:catAx>
        <c:axId val="91005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09140032"/>
        <c:crosses val="autoZero"/>
        <c:auto val="1"/>
        <c:lblAlgn val="ctr"/>
        <c:lblOffset val="100"/>
        <c:noMultiLvlLbl val="0"/>
      </c:catAx>
      <c:valAx>
        <c:axId val="90914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100575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1397000</xdr:colOff>
      <xdr:row>12</xdr:row>
      <xdr:rowOff>63500</xdr:rowOff>
    </xdr:from>
    <xdr:to>
      <xdr:col>14</xdr:col>
      <xdr:colOff>228600</xdr:colOff>
      <xdr:row>36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1F67A2-851B-B394-E135-3F61AEA53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10</xdr:row>
      <xdr:rowOff>6350</xdr:rowOff>
    </xdr:from>
    <xdr:to>
      <xdr:col>5</xdr:col>
      <xdr:colOff>1028700</xdr:colOff>
      <xdr:row>29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F21927-DE4C-A27C-3A42-36607F140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31766-B5F6-7647-A460-263678CEE455}" name="Table1" displayName="Table1" ref="A1:E6" totalsRowShown="0" headerRowDxfId="20" dataDxfId="19">
  <autoFilter ref="A1:E6" xr:uid="{27C31766-B5F6-7647-A460-263678CEE455}"/>
  <tableColumns count="5">
    <tableColumn id="1" xr3:uid="{CF5F9554-5A43-364B-97A2-7C8FD4D64562}" name="Task" dataDxfId="14"/>
    <tableColumn id="2" xr3:uid="{B9715647-E083-4E4C-BE9C-BB146BBEBBE3}" name="Owner (Squad Role) " dataDxfId="15"/>
    <tableColumn id="3" xr3:uid="{DA9D23AC-CF07-BA43-846E-FF0331D5A125}" name="Start Date" dataDxfId="16">
      <calculatedColumnFormula>DATE(2026,1,20)</calculatedColumnFormula>
    </tableColumn>
    <tableColumn id="4" xr3:uid="{9E272DBA-4047-CE4B-B319-18581DFF3C3B}" name="Duration (Days)" dataDxfId="17"/>
    <tableColumn id="5" xr3:uid="{C913D2F7-82D4-A440-9066-C0481313DA0F}" name="Phase 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43799-B881-A14C-9176-0E38CFD6A676}" name="Table2" displayName="Table2" ref="A1:G9" totalsRowShown="0" headerRowDxfId="6" dataDxfId="5">
  <autoFilter ref="A1:G9" xr:uid="{06F43799-B881-A14C-9176-0E38CFD6A676}"/>
  <tableColumns count="7">
    <tableColumn id="1" xr3:uid="{1193EBE9-C4DC-4B4D-AD64-4ED05E9D8A56}" name="Month" dataDxfId="13"/>
    <tableColumn id="2" xr3:uid="{6FF72145-F007-AA41-8407-9D1BB48B419E}" name="Phase" dataDxfId="12"/>
    <tableColumn id="3" xr3:uid="{0C54AC3A-579C-F342-9804-823EC7B8C797}" name="Active Users (MAU)" dataDxfId="11"/>
    <tableColumn id="4" xr3:uid="{05A58DB4-95C6-4A4A-BE8E-486FEFFA2324}" name="Fixed Infra Baseline" dataDxfId="10">
      <calculatedColumnFormula>I23</calculatedColumnFormula>
    </tableColumn>
    <tableColumn id="5" xr3:uid="{16C81ADF-C8FA-164E-AD28-4A4152886BF0}" name="Scaling Infra Cost" dataDxfId="9"/>
    <tableColumn id="6" xr3:uid="{7F5D158D-87B6-E342-BA91-304C010503D0}" name="LLM Token Cost" dataDxfId="8"/>
    <tableColumn id="7" xr3:uid="{51B52BFE-C7AA-C742-919A-143E0DC7FC07}" name="Total Monthly OpEx" dataDxfId="7">
      <calculatedColumnFormula>SUM(Table2[[#This Row],[Fixed Infra Baseline]:[LLM Token Cost]])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ACAF90-39FC-AB47-B781-7DFEBB5A52D7}" name="Table3" displayName="Table3" ref="H18:J24" totalsRowShown="0" headerRowDxfId="1" dataDxfId="0">
  <autoFilter ref="H18:J24" xr:uid="{8BACAF90-39FC-AB47-B781-7DFEBB5A52D7}"/>
  <tableColumns count="3">
    <tableColumn id="1" xr3:uid="{4306569B-8EC4-2247-A516-DD6F5790282C}" name="Service Category" dataDxfId="4"/>
    <tableColumn id="2" xr3:uid="{86D4ED63-87B6-B24E-A25C-580A10C8E06E}" name="Estimated Cost" dataDxfId="3"/>
    <tableColumn id="3" xr3:uid="{4328F336-B1CC-5F43-83F8-CAD889DB55D1}" name="Core Purpose &amp; Governance" dataDxfId="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C021-62DB-744D-8703-3DD473F29BA0}">
  <dimension ref="A1:E10"/>
  <sheetViews>
    <sheetView workbookViewId="0">
      <selection activeCell="C11" sqref="C11"/>
    </sheetView>
  </sheetViews>
  <sheetFormatPr baseColWidth="10" defaultRowHeight="16" x14ac:dyDescent="0.2"/>
  <cols>
    <col min="1" max="1" width="19.1640625" customWidth="1"/>
    <col min="2" max="2" width="22.83203125" customWidth="1"/>
    <col min="3" max="3" width="13.1640625" bestFit="1" customWidth="1"/>
    <col min="4" max="4" width="18.5" customWidth="1"/>
    <col min="5" max="5" width="14.83203125" bestFit="1" customWidth="1"/>
  </cols>
  <sheetData>
    <row r="1" spans="1:5" x14ac:dyDescent="0.2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8" x14ac:dyDescent="0.25">
      <c r="A2" s="5" t="s">
        <v>4</v>
      </c>
      <c r="B2" s="2" t="s">
        <v>5</v>
      </c>
      <c r="C2" s="3">
        <f>B10</f>
        <v>46042</v>
      </c>
      <c r="D2" s="2">
        <v>60</v>
      </c>
      <c r="E2" s="2" t="s">
        <v>6</v>
      </c>
    </row>
    <row r="3" spans="1:5" ht="18" x14ac:dyDescent="0.25">
      <c r="A3" s="5" t="s">
        <v>7</v>
      </c>
      <c r="B3" s="2" t="s">
        <v>8</v>
      </c>
      <c r="C3" s="3">
        <v>46073</v>
      </c>
      <c r="D3" s="2">
        <v>60</v>
      </c>
      <c r="E3" s="2" t="s">
        <v>9</v>
      </c>
    </row>
    <row r="4" spans="1:5" ht="18" x14ac:dyDescent="0.25">
      <c r="A4" s="5" t="s">
        <v>10</v>
      </c>
      <c r="B4" s="2" t="s">
        <v>11</v>
      </c>
      <c r="C4" s="3">
        <v>46101</v>
      </c>
      <c r="D4" s="2">
        <v>60</v>
      </c>
      <c r="E4" s="2" t="s">
        <v>12</v>
      </c>
    </row>
    <row r="5" spans="1:5" ht="18" x14ac:dyDescent="0.25">
      <c r="A5" s="5" t="s">
        <v>13</v>
      </c>
      <c r="B5" s="2" t="s">
        <v>14</v>
      </c>
      <c r="C5" s="3">
        <v>46132</v>
      </c>
      <c r="D5" s="2">
        <v>60</v>
      </c>
      <c r="E5" s="2" t="s">
        <v>15</v>
      </c>
    </row>
    <row r="6" spans="1:5" ht="18" x14ac:dyDescent="0.25">
      <c r="A6" s="5" t="s">
        <v>16</v>
      </c>
      <c r="B6" s="2" t="s">
        <v>17</v>
      </c>
      <c r="C6" s="3">
        <v>46162</v>
      </c>
      <c r="D6" s="2">
        <v>30</v>
      </c>
      <c r="E6" s="2" t="s">
        <v>18</v>
      </c>
    </row>
    <row r="10" spans="1:5" ht="17" x14ac:dyDescent="0.25">
      <c r="A10" t="s">
        <v>1</v>
      </c>
      <c r="B10" s="4">
        <f>DATE(2026,1,20)</f>
        <v>46042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71E9-E07A-D84C-A562-9F30B2347DB4}">
  <dimension ref="A1:J24"/>
  <sheetViews>
    <sheetView tabSelected="1" workbookViewId="0">
      <selection activeCell="I9" sqref="I9"/>
    </sheetView>
  </sheetViews>
  <sheetFormatPr baseColWidth="10" defaultColWidth="14.6640625" defaultRowHeight="16" x14ac:dyDescent="0.2"/>
  <cols>
    <col min="1" max="1" width="14.6640625" style="6" customWidth="1"/>
    <col min="2" max="2" width="17" style="6" bestFit="1" customWidth="1"/>
    <col min="3" max="3" width="8.83203125" style="6" customWidth="1"/>
    <col min="4" max="7" width="14.6640625" style="6"/>
    <col min="8" max="8" width="23.1640625" style="6" bestFit="1" customWidth="1"/>
    <col min="9" max="9" width="21" style="6" bestFit="1" customWidth="1"/>
    <col min="10" max="10" width="68.6640625" style="6" bestFit="1" customWidth="1"/>
    <col min="11" max="16384" width="14.6640625" style="6"/>
  </cols>
  <sheetData>
    <row r="1" spans="1:7" ht="33" customHeight="1" x14ac:dyDescent="0.2">
      <c r="A1" s="8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 ht="17" x14ac:dyDescent="0.2">
      <c r="A2" s="7" t="s">
        <v>27</v>
      </c>
      <c r="B2" s="8" t="s">
        <v>28</v>
      </c>
      <c r="C2" s="8">
        <v>500</v>
      </c>
      <c r="D2" s="13">
        <f>I24</f>
        <v>2370</v>
      </c>
      <c r="E2" s="14">
        <v>200</v>
      </c>
      <c r="F2" s="13">
        <v>3850</v>
      </c>
      <c r="G2" s="15">
        <f>SUM(Table2[[#This Row],[Fixed Infra Baseline]:[LLM Token Cost]])</f>
        <v>6420</v>
      </c>
    </row>
    <row r="3" spans="1:7" ht="17" x14ac:dyDescent="0.2">
      <c r="A3" s="7" t="s">
        <v>29</v>
      </c>
      <c r="B3" s="8" t="s">
        <v>30</v>
      </c>
      <c r="C3" s="8">
        <v>1000</v>
      </c>
      <c r="D3" s="13">
        <f t="shared" ref="D3:D9" si="0">I24</f>
        <v>2370</v>
      </c>
      <c r="E3" s="14">
        <v>400</v>
      </c>
      <c r="F3" s="13">
        <v>7700</v>
      </c>
      <c r="G3" s="15">
        <f>SUM(Table2[[#This Row],[Fixed Infra Baseline]:[LLM Token Cost]])</f>
        <v>10470</v>
      </c>
    </row>
    <row r="4" spans="1:7" ht="17" x14ac:dyDescent="0.2">
      <c r="A4" s="7" t="s">
        <v>31</v>
      </c>
      <c r="B4" s="8" t="s">
        <v>32</v>
      </c>
      <c r="C4" s="8">
        <v>2500</v>
      </c>
      <c r="D4" s="13">
        <f>I24</f>
        <v>2370</v>
      </c>
      <c r="E4" s="13">
        <v>1000</v>
      </c>
      <c r="F4" s="13">
        <v>19250</v>
      </c>
      <c r="G4" s="15">
        <f>SUM(Table2[[#This Row],[Fixed Infra Baseline]:[LLM Token Cost]])</f>
        <v>22620</v>
      </c>
    </row>
    <row r="5" spans="1:7" ht="17" x14ac:dyDescent="0.2">
      <c r="A5" s="7" t="s">
        <v>33</v>
      </c>
      <c r="B5" s="8" t="s">
        <v>34</v>
      </c>
      <c r="C5" s="8">
        <v>5000</v>
      </c>
      <c r="D5" s="13">
        <f>I24</f>
        <v>2370</v>
      </c>
      <c r="E5" s="13">
        <v>20000</v>
      </c>
      <c r="F5" s="16">
        <v>38500</v>
      </c>
      <c r="G5" s="15">
        <f>SUM(Table2[[#This Row],[Fixed Infra Baseline]:[LLM Token Cost]])</f>
        <v>60870</v>
      </c>
    </row>
    <row r="6" spans="1:7" ht="17" x14ac:dyDescent="0.2">
      <c r="A6" s="7" t="s">
        <v>35</v>
      </c>
      <c r="B6" s="8" t="s">
        <v>36</v>
      </c>
      <c r="C6" s="8">
        <v>10000</v>
      </c>
      <c r="D6" s="13">
        <f>I24</f>
        <v>2370</v>
      </c>
      <c r="E6" s="13">
        <v>4050</v>
      </c>
      <c r="F6" s="17">
        <v>51000</v>
      </c>
      <c r="G6" s="15">
        <f>SUM(Table2[[#This Row],[Fixed Infra Baseline]:[LLM Token Cost]])</f>
        <v>57420</v>
      </c>
    </row>
    <row r="7" spans="1:7" ht="17" x14ac:dyDescent="0.2">
      <c r="A7" s="7" t="s">
        <v>37</v>
      </c>
      <c r="B7" s="8" t="s">
        <v>38</v>
      </c>
      <c r="C7" s="8">
        <v>18000</v>
      </c>
      <c r="D7" s="13">
        <f>I24</f>
        <v>2370</v>
      </c>
      <c r="E7" s="13">
        <v>7250</v>
      </c>
      <c r="F7" s="13">
        <v>73500</v>
      </c>
      <c r="G7" s="15">
        <f>SUM(Table2[[#This Row],[Fixed Infra Baseline]:[LLM Token Cost]])</f>
        <v>83120</v>
      </c>
    </row>
    <row r="8" spans="1:7" ht="17" x14ac:dyDescent="0.2">
      <c r="A8" s="7" t="s">
        <v>39</v>
      </c>
      <c r="B8" s="8" t="s">
        <v>40</v>
      </c>
      <c r="C8" s="8">
        <v>22000</v>
      </c>
      <c r="D8" s="13">
        <f>I24</f>
        <v>2370</v>
      </c>
      <c r="E8" s="13">
        <v>8900</v>
      </c>
      <c r="F8" s="13">
        <v>89800</v>
      </c>
      <c r="G8" s="15">
        <f>SUM(Table2[[#This Row],[Fixed Infra Baseline]:[LLM Token Cost]])</f>
        <v>101070</v>
      </c>
    </row>
    <row r="9" spans="1:7" ht="17" x14ac:dyDescent="0.2">
      <c r="A9" s="7" t="s">
        <v>41</v>
      </c>
      <c r="B9" s="8" t="s">
        <v>42</v>
      </c>
      <c r="C9" s="8">
        <v>25000</v>
      </c>
      <c r="D9" s="13">
        <f>I24</f>
        <v>2370</v>
      </c>
      <c r="E9" s="13">
        <v>10100</v>
      </c>
      <c r="F9" s="13">
        <v>102000</v>
      </c>
      <c r="G9" s="15">
        <f>SUM(Table2[[#This Row],[Fixed Infra Baseline]:[LLM Token Cost]])</f>
        <v>114470</v>
      </c>
    </row>
    <row r="18" spans="3:10" ht="17" x14ac:dyDescent="0.2">
      <c r="H18" s="9" t="s">
        <v>43</v>
      </c>
      <c r="I18" s="9" t="s">
        <v>44</v>
      </c>
      <c r="J18" s="9" t="s">
        <v>45</v>
      </c>
    </row>
    <row r="19" spans="3:10" ht="34" x14ac:dyDescent="0.2">
      <c r="C19" s="18"/>
      <c r="H19" s="10" t="s">
        <v>46</v>
      </c>
      <c r="I19" s="19">
        <v>800</v>
      </c>
      <c r="J19" s="11" t="s">
        <v>52</v>
      </c>
    </row>
    <row r="20" spans="3:10" ht="34" x14ac:dyDescent="0.2">
      <c r="H20" s="10" t="s">
        <v>47</v>
      </c>
      <c r="I20" s="19">
        <v>600</v>
      </c>
      <c r="J20" s="11" t="s">
        <v>53</v>
      </c>
    </row>
    <row r="21" spans="3:10" ht="34" x14ac:dyDescent="0.2">
      <c r="H21" s="10" t="s">
        <v>48</v>
      </c>
      <c r="I21" s="19">
        <v>250</v>
      </c>
      <c r="J21" s="12" t="s">
        <v>54</v>
      </c>
    </row>
    <row r="22" spans="3:10" ht="34" x14ac:dyDescent="0.2">
      <c r="H22" s="10" t="s">
        <v>56</v>
      </c>
      <c r="I22" s="19">
        <v>470</v>
      </c>
      <c r="J22" s="8" t="s">
        <v>57</v>
      </c>
    </row>
    <row r="23" spans="3:10" ht="34" x14ac:dyDescent="0.2">
      <c r="H23" s="10" t="s">
        <v>49</v>
      </c>
      <c r="I23" s="19">
        <v>250</v>
      </c>
      <c r="J23" s="11" t="s">
        <v>55</v>
      </c>
    </row>
    <row r="24" spans="3:10" ht="17" x14ac:dyDescent="0.2">
      <c r="H24" s="10" t="s">
        <v>50</v>
      </c>
      <c r="I24" s="20">
        <f>SUM(I19:I23)</f>
        <v>2370</v>
      </c>
      <c r="J24" s="12" t="s">
        <v>51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NABAA</dc:creator>
  <cp:lastModifiedBy>Mohamad NABAA</cp:lastModifiedBy>
  <dcterms:created xsi:type="dcterms:W3CDTF">2026-01-15T08:29:32Z</dcterms:created>
  <dcterms:modified xsi:type="dcterms:W3CDTF">2026-01-18T08:51:53Z</dcterms:modified>
</cp:coreProperties>
</file>